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Hunt\Documents\japanese-practice\verbs\"/>
    </mc:Choice>
  </mc:AlternateContent>
  <xr:revisionPtr revIDLastSave="0" documentId="13_ncr:1_{4805F6E8-B036-41CB-8C7D-2EF7B1677EB6}" xr6:coauthVersionLast="47" xr6:coauthVersionMax="47" xr10:uidLastSave="{00000000-0000-0000-0000-000000000000}"/>
  <bookViews>
    <workbookView xWindow="-28920" yWindow="1845" windowWidth="29040" windowHeight="15720" xr2:uid="{9921D540-D520-4E46-B0DA-C77DD5C34F2D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" i="2" l="1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3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10" i="2"/>
  <c r="Y3" i="2"/>
  <c r="Y4" i="2"/>
  <c r="Y5" i="2"/>
  <c r="Y6" i="2"/>
  <c r="Y7" i="2"/>
  <c r="Y8" i="2"/>
  <c r="Y2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10" i="2"/>
  <c r="W3" i="2"/>
  <c r="W4" i="2"/>
  <c r="W5" i="2"/>
  <c r="W6" i="2"/>
  <c r="W7" i="2"/>
  <c r="W8" i="2"/>
  <c r="W2" i="2"/>
  <c r="U19" i="2"/>
  <c r="U20" i="2"/>
  <c r="U21" i="2"/>
  <c r="U22" i="2"/>
  <c r="U23" i="2"/>
  <c r="U18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" i="2"/>
  <c r="X25" i="2"/>
  <c r="V25" i="2"/>
  <c r="R25" i="2"/>
  <c r="P25" i="2"/>
  <c r="N25" i="2"/>
  <c r="L25" i="2"/>
  <c r="J25" i="2"/>
  <c r="H25" i="2"/>
  <c r="X24" i="2"/>
  <c r="V24" i="2"/>
  <c r="R24" i="2"/>
  <c r="P24" i="2"/>
  <c r="N24" i="2"/>
  <c r="L24" i="2"/>
  <c r="J24" i="2"/>
  <c r="H24" i="2"/>
  <c r="AB23" i="2"/>
  <c r="Z23" i="2"/>
  <c r="X23" i="2"/>
  <c r="V23" i="2"/>
  <c r="R23" i="2"/>
  <c r="P23" i="2"/>
  <c r="N23" i="2"/>
  <c r="L23" i="2"/>
  <c r="J23" i="2"/>
  <c r="H23" i="2"/>
  <c r="AB22" i="2"/>
  <c r="Z22" i="2"/>
  <c r="X22" i="2"/>
  <c r="V22" i="2"/>
  <c r="R22" i="2"/>
  <c r="P22" i="2"/>
  <c r="N22" i="2"/>
  <c r="L22" i="2"/>
  <c r="J22" i="2"/>
  <c r="H22" i="2"/>
  <c r="AB21" i="2"/>
  <c r="Z21" i="2"/>
  <c r="X21" i="2"/>
  <c r="V21" i="2"/>
  <c r="R21" i="2"/>
  <c r="P21" i="2"/>
  <c r="N21" i="2"/>
  <c r="L21" i="2"/>
  <c r="J21" i="2"/>
  <c r="H21" i="2"/>
  <c r="AB20" i="2"/>
  <c r="Z20" i="2"/>
  <c r="X20" i="2"/>
  <c r="V20" i="2"/>
  <c r="R20" i="2"/>
  <c r="P20" i="2"/>
  <c r="N20" i="2"/>
  <c r="L20" i="2"/>
  <c r="J20" i="2"/>
  <c r="H20" i="2"/>
  <c r="AB19" i="2"/>
  <c r="Z19" i="2"/>
  <c r="X19" i="2"/>
  <c r="V19" i="2"/>
  <c r="R19" i="2"/>
  <c r="P19" i="2"/>
  <c r="N19" i="2"/>
  <c r="L19" i="2"/>
  <c r="J19" i="2"/>
  <c r="H19" i="2"/>
  <c r="AB18" i="2"/>
  <c r="Z18" i="2"/>
  <c r="X18" i="2"/>
  <c r="V18" i="2"/>
  <c r="R18" i="2"/>
  <c r="P18" i="2"/>
  <c r="N18" i="2"/>
  <c r="L18" i="2"/>
  <c r="J18" i="2"/>
  <c r="H18" i="2"/>
  <c r="X17" i="2"/>
  <c r="V17" i="2"/>
  <c r="R17" i="2"/>
  <c r="P17" i="2"/>
  <c r="N17" i="2"/>
  <c r="L17" i="2"/>
  <c r="J17" i="2"/>
  <c r="H17" i="2"/>
  <c r="X16" i="2"/>
  <c r="V16" i="2"/>
  <c r="R16" i="2"/>
  <c r="P16" i="2"/>
  <c r="N16" i="2"/>
  <c r="L16" i="2"/>
  <c r="J16" i="2"/>
  <c r="H16" i="2"/>
  <c r="X15" i="2"/>
  <c r="V15" i="2"/>
  <c r="R15" i="2"/>
  <c r="P15" i="2"/>
  <c r="N15" i="2"/>
  <c r="L15" i="2"/>
  <c r="J15" i="2"/>
  <c r="H15" i="2"/>
  <c r="X14" i="2"/>
  <c r="V14" i="2"/>
  <c r="R14" i="2"/>
  <c r="P14" i="2"/>
  <c r="N14" i="2"/>
  <c r="L14" i="2"/>
  <c r="J14" i="2"/>
  <c r="H14" i="2"/>
  <c r="X13" i="2"/>
  <c r="V13" i="2"/>
  <c r="R13" i="2"/>
  <c r="P13" i="2"/>
  <c r="N13" i="2"/>
  <c r="L13" i="2"/>
  <c r="J13" i="2"/>
  <c r="H13" i="2"/>
  <c r="X12" i="2"/>
  <c r="V12" i="2"/>
  <c r="R12" i="2"/>
  <c r="P12" i="2"/>
  <c r="N12" i="2"/>
  <c r="L12" i="2"/>
  <c r="J12" i="2"/>
  <c r="H12" i="2"/>
  <c r="X11" i="2"/>
  <c r="V11" i="2"/>
  <c r="R11" i="2"/>
  <c r="P11" i="2"/>
  <c r="N11" i="2"/>
  <c r="L11" i="2"/>
  <c r="J11" i="2"/>
  <c r="H11" i="2"/>
  <c r="X10" i="2"/>
  <c r="V10" i="2"/>
  <c r="R10" i="2"/>
  <c r="P10" i="2"/>
  <c r="N10" i="2"/>
  <c r="L10" i="2"/>
  <c r="J10" i="2"/>
  <c r="H10" i="2"/>
  <c r="R9" i="2"/>
  <c r="P9" i="2"/>
  <c r="N9" i="2"/>
  <c r="L9" i="2"/>
  <c r="J9" i="2"/>
  <c r="H9" i="2"/>
  <c r="X8" i="2"/>
  <c r="V8" i="2"/>
  <c r="R8" i="2"/>
  <c r="P8" i="2"/>
  <c r="N8" i="2"/>
  <c r="L8" i="2"/>
  <c r="J8" i="2"/>
  <c r="H8" i="2"/>
  <c r="X7" i="2"/>
  <c r="V7" i="2"/>
  <c r="R7" i="2"/>
  <c r="P7" i="2"/>
  <c r="N7" i="2"/>
  <c r="L7" i="2"/>
  <c r="J7" i="2"/>
  <c r="H7" i="2"/>
  <c r="X6" i="2"/>
  <c r="V6" i="2"/>
  <c r="R6" i="2"/>
  <c r="P6" i="2"/>
  <c r="N6" i="2"/>
  <c r="L6" i="2"/>
  <c r="J6" i="2"/>
  <c r="H6" i="2"/>
  <c r="X5" i="2"/>
  <c r="V5" i="2"/>
  <c r="R5" i="2"/>
  <c r="P5" i="2"/>
  <c r="N5" i="2"/>
  <c r="L5" i="2"/>
  <c r="J5" i="2"/>
  <c r="H5" i="2"/>
  <c r="X4" i="2"/>
  <c r="V4" i="2"/>
  <c r="R4" i="2"/>
  <c r="P4" i="2"/>
  <c r="N4" i="2"/>
  <c r="L4" i="2"/>
  <c r="J4" i="2"/>
  <c r="H4" i="2"/>
  <c r="X3" i="2"/>
  <c r="V3" i="2"/>
  <c r="R3" i="2"/>
  <c r="P3" i="2"/>
  <c r="N3" i="2"/>
  <c r="L3" i="2"/>
  <c r="J3" i="2"/>
  <c r="H3" i="2"/>
  <c r="X2" i="2"/>
  <c r="V2" i="2"/>
  <c r="R2" i="2"/>
  <c r="P2" i="2"/>
  <c r="N2" i="2"/>
  <c r="L2" i="2"/>
  <c r="J2" i="2"/>
  <c r="H2" i="2"/>
</calcChain>
</file>

<file path=xl/sharedStrings.xml><?xml version="1.0" encoding="utf-8"?>
<sst xmlns="http://schemas.openxmlformats.org/spreadsheetml/2006/main" count="306" uniqueCount="239">
  <si>
    <t>Dictionary</t>
  </si>
  <si>
    <t>Meaning</t>
  </si>
  <si>
    <t>Type</t>
  </si>
  <si>
    <t>Ichidan Exception</t>
  </si>
  <si>
    <t>Polite Stem</t>
  </si>
  <si>
    <t>Present - Affirmative - Polite</t>
  </si>
  <si>
    <t>Present - Negative - Polite</t>
  </si>
  <si>
    <t>Past - Affirmative - Polite</t>
  </si>
  <si>
    <t>Past - Negative - Polite</t>
  </si>
  <si>
    <t>Volitional - Polite</t>
  </si>
  <si>
    <t>Desire</t>
  </si>
  <si>
    <t>Negative Stem</t>
  </si>
  <si>
    <t>Present - Negative - Plain</t>
  </si>
  <si>
    <t>Past - Negative - Plain</t>
  </si>
  <si>
    <t>Past - Affirmative - Plain</t>
  </si>
  <si>
    <t>Linking</t>
  </si>
  <si>
    <t>行く</t>
  </si>
  <si>
    <t>to go</t>
  </si>
  <si>
    <t>Godan</t>
  </si>
  <si>
    <t>No</t>
  </si>
  <si>
    <t>行き</t>
  </si>
  <si>
    <t>行か</t>
  </si>
  <si>
    <t>行った*</t>
  </si>
  <si>
    <t>行って*</t>
  </si>
  <si>
    <t>帰る</t>
  </si>
  <si>
    <t>to return</t>
  </si>
  <si>
    <t>Yes</t>
  </si>
  <si>
    <t>帰り</t>
  </si>
  <si>
    <t>帰ら</t>
  </si>
  <si>
    <t>帰った</t>
  </si>
  <si>
    <t>帰って</t>
  </si>
  <si>
    <t>聞く</t>
  </si>
  <si>
    <t>to hear / to ask</t>
  </si>
  <si>
    <t>聞き</t>
  </si>
  <si>
    <t>聞か</t>
  </si>
  <si>
    <t>聞いた</t>
  </si>
  <si>
    <t>聞いて</t>
  </si>
  <si>
    <t>飲む</t>
  </si>
  <si>
    <t>to drink</t>
  </si>
  <si>
    <t>飲み</t>
  </si>
  <si>
    <t>飲ま</t>
  </si>
  <si>
    <t>飲んだ</t>
  </si>
  <si>
    <t>飲んで</t>
  </si>
  <si>
    <t>話す</t>
  </si>
  <si>
    <t>to speak</t>
  </si>
  <si>
    <t>話し</t>
  </si>
  <si>
    <t>話さ</t>
  </si>
  <si>
    <t>話した</t>
  </si>
  <si>
    <t>話して</t>
  </si>
  <si>
    <t>読む</t>
  </si>
  <si>
    <t>to read</t>
  </si>
  <si>
    <t>読み</t>
  </si>
  <si>
    <t>読ま</t>
  </si>
  <si>
    <t>読んだ</t>
  </si>
  <si>
    <t>読んで</t>
  </si>
  <si>
    <t>会う</t>
  </si>
  <si>
    <t>to meet</t>
  </si>
  <si>
    <t>会い</t>
  </si>
  <si>
    <t>会わ</t>
  </si>
  <si>
    <t>会った</t>
  </si>
  <si>
    <t>会って</t>
  </si>
  <si>
    <t>ある</t>
  </si>
  <si>
    <t>to exist (inanimate)</t>
  </si>
  <si>
    <t>あり</t>
  </si>
  <si>
    <t>Exception</t>
  </si>
  <si>
    <t>ない*</t>
  </si>
  <si>
    <t>なかった*</t>
  </si>
  <si>
    <t>あった</t>
  </si>
  <si>
    <t>あって</t>
  </si>
  <si>
    <t>買う</t>
  </si>
  <si>
    <t>to buy</t>
  </si>
  <si>
    <t>買い</t>
  </si>
  <si>
    <t>買わ</t>
  </si>
  <si>
    <t>買った</t>
  </si>
  <si>
    <t>買って</t>
  </si>
  <si>
    <t>書く</t>
  </si>
  <si>
    <t>to write</t>
  </si>
  <si>
    <t>書き</t>
  </si>
  <si>
    <t>書か</t>
  </si>
  <si>
    <t>書いた</t>
  </si>
  <si>
    <t>書いて</t>
  </si>
  <si>
    <t>撮る</t>
  </si>
  <si>
    <t>to take a picture</t>
  </si>
  <si>
    <t>撮り</t>
  </si>
  <si>
    <t>撮ら</t>
  </si>
  <si>
    <t>撮った</t>
  </si>
  <si>
    <t>撮って</t>
  </si>
  <si>
    <t>待つ</t>
  </si>
  <si>
    <t>to wait</t>
  </si>
  <si>
    <t>待ち</t>
  </si>
  <si>
    <t>待た</t>
  </si>
  <si>
    <t>待った</t>
  </si>
  <si>
    <t>待って</t>
  </si>
  <si>
    <t>分かる</t>
  </si>
  <si>
    <t>to understand</t>
  </si>
  <si>
    <t>分かり</t>
  </si>
  <si>
    <t>分から</t>
  </si>
  <si>
    <t>分かった</t>
  </si>
  <si>
    <t>分かって</t>
  </si>
  <si>
    <t>泳ぐ</t>
  </si>
  <si>
    <t>to swim</t>
  </si>
  <si>
    <t>泳ぎ</t>
  </si>
  <si>
    <t>泳が</t>
  </si>
  <si>
    <t>泳いだ</t>
  </si>
  <si>
    <t>泳いで</t>
  </si>
  <si>
    <t>乗る</t>
  </si>
  <si>
    <t>to ride</t>
  </si>
  <si>
    <t>乗り</t>
  </si>
  <si>
    <t>乗ら</t>
  </si>
  <si>
    <t>乗った</t>
  </si>
  <si>
    <t>乗って</t>
  </si>
  <si>
    <t>やる</t>
  </si>
  <si>
    <t>to perform</t>
  </si>
  <si>
    <t>やり</t>
  </si>
  <si>
    <t>やら</t>
  </si>
  <si>
    <t>やった</t>
  </si>
  <si>
    <t>やって</t>
  </si>
  <si>
    <t>出かける</t>
  </si>
  <si>
    <t>to go out</t>
  </si>
  <si>
    <t>Ichidan</t>
  </si>
  <si>
    <t>NA</t>
  </si>
  <si>
    <t>出かけ</t>
  </si>
  <si>
    <t>いる</t>
  </si>
  <si>
    <t>to exist (animate)</t>
  </si>
  <si>
    <t>い</t>
  </si>
  <si>
    <t>起きる</t>
  </si>
  <si>
    <t>to get up</t>
  </si>
  <si>
    <t>起き</t>
  </si>
  <si>
    <t>食べる</t>
  </si>
  <si>
    <t>to eat</t>
  </si>
  <si>
    <t>食べ</t>
  </si>
  <si>
    <t>寝る</t>
  </si>
  <si>
    <t>to sleep</t>
  </si>
  <si>
    <t>寝</t>
  </si>
  <si>
    <t>見る</t>
  </si>
  <si>
    <t>to see</t>
  </si>
  <si>
    <t>見</t>
  </si>
  <si>
    <t>来る</t>
  </si>
  <si>
    <t>to come</t>
  </si>
  <si>
    <t>Irregular</t>
  </si>
  <si>
    <t>来</t>
  </si>
  <si>
    <t>来た</t>
  </si>
  <si>
    <t>来て</t>
  </si>
  <si>
    <t>する</t>
  </si>
  <si>
    <t>to do</t>
  </si>
  <si>
    <t>し</t>
  </si>
  <si>
    <t>した</t>
  </si>
  <si>
    <t>して</t>
  </si>
  <si>
    <t>Dictionary Reading</t>
  </si>
  <si>
    <t>いく</t>
  </si>
  <si>
    <t>かえる</t>
  </si>
  <si>
    <t>きく</t>
  </si>
  <si>
    <t>のむ</t>
  </si>
  <si>
    <t>はなす</t>
  </si>
  <si>
    <t>よむ</t>
  </si>
  <si>
    <t>あう</t>
  </si>
  <si>
    <t>かう</t>
  </si>
  <si>
    <t>かく</t>
  </si>
  <si>
    <t>とる</t>
  </si>
  <si>
    <t>まつ</t>
  </si>
  <si>
    <t>わかる</t>
  </si>
  <si>
    <t>およぐ</t>
  </si>
  <si>
    <t>のる</t>
  </si>
  <si>
    <t>でかける</t>
  </si>
  <si>
    <t>おきる</t>
  </si>
  <si>
    <t>たべる</t>
  </si>
  <si>
    <t>ねる</t>
  </si>
  <si>
    <t>みる</t>
  </si>
  <si>
    <t>くる</t>
  </si>
  <si>
    <t>Polite Stem Reading</t>
  </si>
  <si>
    <t>いき</t>
  </si>
  <si>
    <t>かえり</t>
  </si>
  <si>
    <t>きき</t>
  </si>
  <si>
    <t>のみ</t>
  </si>
  <si>
    <t>はなし</t>
  </si>
  <si>
    <t>よみ</t>
  </si>
  <si>
    <t>あい</t>
  </si>
  <si>
    <t>かい</t>
  </si>
  <si>
    <t>かき</t>
  </si>
  <si>
    <t>とり</t>
  </si>
  <si>
    <t>まち</t>
  </si>
  <si>
    <t>わかり</t>
  </si>
  <si>
    <t>およぎ</t>
  </si>
  <si>
    <t>のり</t>
  </si>
  <si>
    <t>でかけ</t>
  </si>
  <si>
    <t>おき</t>
  </si>
  <si>
    <t>たべ</t>
  </si>
  <si>
    <t>ね</t>
  </si>
  <si>
    <t>み</t>
  </si>
  <si>
    <t>き</t>
  </si>
  <si>
    <t>Present - Affirmative - Polite Reading</t>
  </si>
  <si>
    <t>Present - Negative - Polite Reading</t>
  </si>
  <si>
    <t>Past - Affirmative - Polite Reading</t>
  </si>
  <si>
    <t>Past - Negative - Polite Reading</t>
  </si>
  <si>
    <t>Volitional - Polite Reading</t>
  </si>
  <si>
    <t>Desire Reading</t>
  </si>
  <si>
    <t>Negative Stem Reading</t>
  </si>
  <si>
    <t>Present - Negative - Plain Reading</t>
  </si>
  <si>
    <t>Past - Negative - Plain Reading</t>
  </si>
  <si>
    <t>Past - Affirmative - Plain Reading</t>
  </si>
  <si>
    <t>Linking Reading</t>
  </si>
  <si>
    <t>いか</t>
  </si>
  <si>
    <t>のま</t>
  </si>
  <si>
    <t>よま</t>
  </si>
  <si>
    <t>あわ</t>
  </si>
  <si>
    <t>かわ</t>
  </si>
  <si>
    <t>かか</t>
  </si>
  <si>
    <t>とら</t>
  </si>
  <si>
    <t>また</t>
  </si>
  <si>
    <t>わから</t>
  </si>
  <si>
    <t>のら</t>
  </si>
  <si>
    <t>かえら</t>
  </si>
  <si>
    <t>はなさ</t>
  </si>
  <si>
    <t>およが</t>
  </si>
  <si>
    <t>こ</t>
  </si>
  <si>
    <t>きた</t>
  </si>
  <si>
    <t>きて</t>
  </si>
  <si>
    <t>かった</t>
  </si>
  <si>
    <t>のった</t>
  </si>
  <si>
    <t>とった</t>
  </si>
  <si>
    <t>まった</t>
  </si>
  <si>
    <t>わかった</t>
  </si>
  <si>
    <t>いた</t>
  </si>
  <si>
    <t>ねた</t>
  </si>
  <si>
    <t>みた</t>
  </si>
  <si>
    <t>かえった</t>
  </si>
  <si>
    <t>きいた</t>
  </si>
  <si>
    <t>のんだ</t>
  </si>
  <si>
    <t>はなした</t>
  </si>
  <si>
    <t>よんだ</t>
  </si>
  <si>
    <t>かいた</t>
  </si>
  <si>
    <t>およいだ</t>
  </si>
  <si>
    <t>でかけた</t>
  </si>
  <si>
    <t>おきた</t>
  </si>
  <si>
    <t>たべた</t>
  </si>
  <si>
    <t>なかった</t>
  </si>
  <si>
    <t>ない</t>
  </si>
  <si>
    <t>いった</t>
  </si>
  <si>
    <t>いって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</si>
</sst>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Meiryo"/>
      <family val="2"/>
    </font>
    <font>
      <sz val="11"/>
      <color theme="1"/>
      <name val="Meiryo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0" borderId="0" xfId="0" applyFont="1"/>
    <xf numFmtId="0" fontId="1" fillId="0" borderId="0" xfId="0" applyFont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2546-B21A-4059-8C0C-B1CB9D497EEB}">
  <dimension ref="A1:AH2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C6" sqref="AC6"/>
    </sheetView>
  </sheetViews>
  <sheetFormatPr defaultRowHeight="17.5" x14ac:dyDescent="0.6"/>
  <cols>
    <col min="1" max="1" width="12.26953125" style="7" bestFit="1" customWidth="1"/>
    <col min="2" max="2" width="22.08984375" style="7" bestFit="1" customWidth="1"/>
    <col min="3" max="3" width="21.54296875" style="7" bestFit="1" customWidth="1"/>
    <col min="4" max="4" width="9.90625" style="6" bestFit="1" customWidth="1"/>
    <col min="5" max="5" width="21.08984375" style="6" bestFit="1" customWidth="1"/>
    <col min="6" max="6" width="13.6328125" style="6" bestFit="1" customWidth="1"/>
    <col min="7" max="7" width="23.26953125" style="6" bestFit="1" customWidth="1"/>
    <col min="8" max="8" width="32.81640625" style="6" bestFit="1" customWidth="1"/>
    <col min="9" max="9" width="42.54296875" style="6" bestFit="1" customWidth="1"/>
    <col min="10" max="10" width="30.08984375" style="6" bestFit="1" customWidth="1"/>
    <col min="11" max="11" width="39.81640625" style="6" bestFit="1" customWidth="1"/>
    <col min="12" max="12" width="29.1796875" style="6" bestFit="1" customWidth="1"/>
    <col min="13" max="13" width="38.81640625" style="6" bestFit="1" customWidth="1"/>
    <col min="14" max="14" width="26.453125" style="6" bestFit="1" customWidth="1"/>
    <col min="15" max="15" width="36.08984375" style="6" bestFit="1" customWidth="1"/>
    <col min="16" max="16" width="20.26953125" style="6" bestFit="1" customWidth="1"/>
    <col min="17" max="17" width="30.08984375" style="6" bestFit="1" customWidth="1"/>
    <col min="18" max="18" width="11.453125" style="6" bestFit="1" customWidth="1"/>
    <col min="19" max="19" width="17.7265625" style="6" bestFit="1" customWidth="1"/>
    <col min="20" max="20" width="17" style="6" bestFit="1" customWidth="1"/>
    <col min="21" max="21" width="26.7265625" style="6" bestFit="1" customWidth="1"/>
    <col min="22" max="22" width="29.26953125" style="6" bestFit="1" customWidth="1"/>
    <col min="23" max="23" width="39" style="6" bestFit="1" customWidth="1"/>
    <col min="24" max="24" width="25.6328125" style="6" bestFit="1" customWidth="1"/>
    <col min="25" max="25" width="35.26953125" style="6" bestFit="1" customWidth="1"/>
    <col min="26" max="26" width="28.1796875" style="6" bestFit="1" customWidth="1"/>
    <col min="27" max="27" width="38" style="6" bestFit="1" customWidth="1"/>
    <col min="28" max="28" width="9.36328125" style="6" bestFit="1" customWidth="1"/>
    <col min="29" max="29" width="18.81640625" style="6" bestFit="1" customWidth="1"/>
    <col min="30" max="34" width="8.7265625" style="6"/>
  </cols>
  <sheetData>
    <row r="1" spans="1:29" x14ac:dyDescent="0.6">
      <c r="A1" s="1" t="s">
        <v>0</v>
      </c>
      <c r="B1" s="1" t="s">
        <v>148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169</v>
      </c>
      <c r="H1" s="2" t="s">
        <v>5</v>
      </c>
      <c r="I1" s="2" t="s">
        <v>190</v>
      </c>
      <c r="J1" s="2" t="s">
        <v>6</v>
      </c>
      <c r="K1" s="2" t="s">
        <v>191</v>
      </c>
      <c r="L1" s="2" t="s">
        <v>7</v>
      </c>
      <c r="M1" s="2" t="s">
        <v>192</v>
      </c>
      <c r="N1" s="2" t="s">
        <v>8</v>
      </c>
      <c r="O1" s="2" t="s">
        <v>193</v>
      </c>
      <c r="P1" s="2" t="s">
        <v>9</v>
      </c>
      <c r="Q1" s="2" t="s">
        <v>194</v>
      </c>
      <c r="R1" s="2" t="s">
        <v>10</v>
      </c>
      <c r="S1" s="2" t="s">
        <v>195</v>
      </c>
      <c r="T1" s="3" t="s">
        <v>11</v>
      </c>
      <c r="U1" s="4" t="s">
        <v>196</v>
      </c>
      <c r="V1" s="4" t="s">
        <v>12</v>
      </c>
      <c r="W1" s="4" t="s">
        <v>197</v>
      </c>
      <c r="X1" s="3" t="s">
        <v>13</v>
      </c>
      <c r="Y1" s="3" t="s">
        <v>198</v>
      </c>
      <c r="Z1" s="5" t="s">
        <v>14</v>
      </c>
      <c r="AA1" s="5" t="s">
        <v>199</v>
      </c>
      <c r="AB1" s="5" t="s">
        <v>15</v>
      </c>
      <c r="AC1" s="5" t="s">
        <v>200</v>
      </c>
    </row>
    <row r="2" spans="1:29" x14ac:dyDescent="0.6">
      <c r="A2" s="7" t="s">
        <v>16</v>
      </c>
      <c r="B2" s="7" t="s">
        <v>149</v>
      </c>
      <c r="C2" s="6" t="s">
        <v>17</v>
      </c>
      <c r="D2" s="6" t="s">
        <v>18</v>
      </c>
      <c r="E2" s="6" t="s">
        <v>19</v>
      </c>
      <c r="F2" s="7" t="s">
        <v>20</v>
      </c>
      <c r="G2" s="7" t="s">
        <v>170</v>
      </c>
      <c r="H2" s="7" t="str">
        <f>_xlfn.CONCAT(F2,"ます")</f>
        <v>行きます</v>
      </c>
      <c r="I2" s="7" t="str">
        <f>_xlfn.CONCAT(G2,"ます")</f>
        <v>いきます</v>
      </c>
      <c r="J2" s="7" t="str">
        <f>_xlfn.CONCAT(F2,"ません")</f>
        <v>行きません</v>
      </c>
      <c r="K2" s="7" t="str">
        <f>_xlfn.CONCAT(G2,"ません")</f>
        <v>いきません</v>
      </c>
      <c r="L2" s="7" t="str">
        <f>_xlfn.CONCAT(F2,"ました")</f>
        <v>行きました</v>
      </c>
      <c r="M2" s="7" t="str">
        <f>_xlfn.CONCAT(G2,"ました")</f>
        <v>いきました</v>
      </c>
      <c r="N2" s="7" t="str">
        <f>_xlfn.CONCAT(F2,"ませんでした")</f>
        <v>行きませんでした</v>
      </c>
      <c r="O2" s="7" t="str">
        <f>_xlfn.CONCAT(G2,"ませんでした")</f>
        <v>いきませんでした</v>
      </c>
      <c r="P2" s="7" t="str">
        <f>_xlfn.CONCAT(F2,"ましょう")</f>
        <v>行きましょう</v>
      </c>
      <c r="Q2" s="7" t="str">
        <f>_xlfn.CONCAT(G2,"ましょう")</f>
        <v>いきましょう</v>
      </c>
      <c r="R2" s="7" t="str">
        <f>_xlfn.CONCAT(F2,"たい")</f>
        <v>行きたい</v>
      </c>
      <c r="S2" s="7" t="str">
        <f>_xlfn.CONCAT(G2,"たい")</f>
        <v>いきたい</v>
      </c>
      <c r="T2" s="7" t="s">
        <v>21</v>
      </c>
      <c r="U2" s="7" t="s">
        <v>201</v>
      </c>
      <c r="V2" s="7" t="str">
        <f>_xlfn.CONCAT(T2,"ない")</f>
        <v>行かない</v>
      </c>
      <c r="W2" s="7" t="str">
        <f>_xlfn.CONCAT(U2,"ない")</f>
        <v>いかない</v>
      </c>
      <c r="X2" s="7" t="str">
        <f>_xlfn.CONCAT(T2,"なかった")</f>
        <v>行かなかった</v>
      </c>
      <c r="Y2" s="7" t="str">
        <f>_xlfn.CONCAT(U2,"なかった")</f>
        <v>いかなかった</v>
      </c>
      <c r="Z2" s="8" t="s">
        <v>22</v>
      </c>
      <c r="AA2" s="8" t="s">
        <v>237</v>
      </c>
      <c r="AB2" s="8" t="s">
        <v>23</v>
      </c>
      <c r="AC2" s="8" t="s">
        <v>238</v>
      </c>
    </row>
    <row r="3" spans="1:29" x14ac:dyDescent="0.6">
      <c r="A3" s="7" t="s">
        <v>24</v>
      </c>
      <c r="B3" s="7" t="s">
        <v>150</v>
      </c>
      <c r="C3" s="6" t="s">
        <v>25</v>
      </c>
      <c r="D3" s="6" t="s">
        <v>18</v>
      </c>
      <c r="E3" s="8" t="s">
        <v>26</v>
      </c>
      <c r="F3" s="7" t="s">
        <v>27</v>
      </c>
      <c r="G3" s="7" t="s">
        <v>171</v>
      </c>
      <c r="H3" s="7" t="str">
        <f t="shared" ref="H3:H25" si="0">_xlfn.CONCAT(F3,"ます")</f>
        <v>帰ります</v>
      </c>
      <c r="I3" s="7" t="str">
        <f t="shared" ref="I3:I25" si="1">_xlfn.CONCAT(G3,"ます")</f>
        <v>かえります</v>
      </c>
      <c r="J3" s="7" t="str">
        <f t="shared" ref="J3:J25" si="2">_xlfn.CONCAT(F3,"ません")</f>
        <v>帰りません</v>
      </c>
      <c r="K3" s="7" t="str">
        <f t="shared" ref="K3:K25" si="3">_xlfn.CONCAT(G3,"ません")</f>
        <v>かえりません</v>
      </c>
      <c r="L3" s="7" t="str">
        <f t="shared" ref="L3:L25" si="4">_xlfn.CONCAT(F3,"ました")</f>
        <v>帰りました</v>
      </c>
      <c r="M3" s="7" t="str">
        <f t="shared" ref="M3:M25" si="5">_xlfn.CONCAT(G3,"ました")</f>
        <v>かえりました</v>
      </c>
      <c r="N3" s="7" t="str">
        <f t="shared" ref="N3:N25" si="6">_xlfn.CONCAT(F3,"ませんでした")</f>
        <v>帰りませんでした</v>
      </c>
      <c r="O3" s="7" t="str">
        <f t="shared" ref="O3:O25" si="7">_xlfn.CONCAT(G3,"ませんでした")</f>
        <v>かえりませんでした</v>
      </c>
      <c r="P3" s="7" t="str">
        <f t="shared" ref="P3:P25" si="8">_xlfn.CONCAT(F3,"ましょう")</f>
        <v>帰りましょう</v>
      </c>
      <c r="Q3" s="7" t="str">
        <f t="shared" ref="Q3:Q25" si="9">_xlfn.CONCAT(G3,"ましょう")</f>
        <v>かえりましょう</v>
      </c>
      <c r="R3" s="7" t="str">
        <f t="shared" ref="R3:R25" si="10">_xlfn.CONCAT(F3,"たい")</f>
        <v>帰りたい</v>
      </c>
      <c r="S3" s="7" t="str">
        <f t="shared" ref="S3:S25" si="11">_xlfn.CONCAT(G3,"たい")</f>
        <v>かえりたい</v>
      </c>
      <c r="T3" s="7" t="s">
        <v>28</v>
      </c>
      <c r="U3" s="7" t="s">
        <v>211</v>
      </c>
      <c r="V3" s="7" t="str">
        <f t="shared" ref="V3:W25" si="12">_xlfn.CONCAT(T3,"ない")</f>
        <v>帰らない</v>
      </c>
      <c r="W3" s="7" t="str">
        <f t="shared" ref="W3:W8" si="13">_xlfn.CONCAT(U3,"ない")</f>
        <v>かえらない</v>
      </c>
      <c r="X3" s="7" t="str">
        <f t="shared" ref="X3:X8" si="14">_xlfn.CONCAT(T3,"なかった")</f>
        <v>帰らなかった</v>
      </c>
      <c r="Y3" s="7" t="str">
        <f t="shared" ref="Y3:Y8" si="15">_xlfn.CONCAT(U3,"なかった")</f>
        <v>かえらなかった</v>
      </c>
      <c r="Z3" s="7" t="s">
        <v>29</v>
      </c>
      <c r="AA3" s="7" t="s">
        <v>225</v>
      </c>
      <c r="AB3" s="7" t="s">
        <v>30</v>
      </c>
      <c r="AC3" s="7" t="str">
        <f>LEFT(AA3,LEN(AA3)-1) &amp; "て"</f>
        <v>かえって</v>
      </c>
    </row>
    <row r="4" spans="1:29" x14ac:dyDescent="0.6">
      <c r="A4" s="7" t="s">
        <v>31</v>
      </c>
      <c r="B4" s="7" t="s">
        <v>151</v>
      </c>
      <c r="C4" s="6" t="s">
        <v>32</v>
      </c>
      <c r="D4" s="6" t="s">
        <v>18</v>
      </c>
      <c r="E4" s="6" t="s">
        <v>19</v>
      </c>
      <c r="F4" s="7" t="s">
        <v>33</v>
      </c>
      <c r="G4" s="7" t="s">
        <v>172</v>
      </c>
      <c r="H4" s="7" t="str">
        <f t="shared" si="0"/>
        <v>聞きます</v>
      </c>
      <c r="I4" s="7" t="str">
        <f t="shared" si="1"/>
        <v>ききます</v>
      </c>
      <c r="J4" s="7" t="str">
        <f t="shared" si="2"/>
        <v>聞きません</v>
      </c>
      <c r="K4" s="7" t="str">
        <f t="shared" si="3"/>
        <v>ききません</v>
      </c>
      <c r="L4" s="7" t="str">
        <f t="shared" si="4"/>
        <v>聞きました</v>
      </c>
      <c r="M4" s="7" t="str">
        <f t="shared" si="5"/>
        <v>ききました</v>
      </c>
      <c r="N4" s="7" t="str">
        <f t="shared" si="6"/>
        <v>聞きませんでした</v>
      </c>
      <c r="O4" s="7" t="str">
        <f t="shared" si="7"/>
        <v>ききませんでした</v>
      </c>
      <c r="P4" s="7" t="str">
        <f t="shared" si="8"/>
        <v>聞きましょう</v>
      </c>
      <c r="Q4" s="7" t="str">
        <f t="shared" si="9"/>
        <v>ききましょう</v>
      </c>
      <c r="R4" s="7" t="str">
        <f t="shared" si="10"/>
        <v>聞きたい</v>
      </c>
      <c r="S4" s="7" t="str">
        <f t="shared" si="11"/>
        <v>ききたい</v>
      </c>
      <c r="T4" s="7" t="s">
        <v>34</v>
      </c>
      <c r="U4" s="7" t="s">
        <v>206</v>
      </c>
      <c r="V4" s="7" t="str">
        <f t="shared" si="12"/>
        <v>聞かない</v>
      </c>
      <c r="W4" s="7" t="str">
        <f t="shared" si="13"/>
        <v>かかない</v>
      </c>
      <c r="X4" s="7" t="str">
        <f t="shared" si="14"/>
        <v>聞かなかった</v>
      </c>
      <c r="Y4" s="7" t="str">
        <f t="shared" si="15"/>
        <v>かかなかった</v>
      </c>
      <c r="Z4" s="7" t="s">
        <v>35</v>
      </c>
      <c r="AA4" s="7" t="s">
        <v>226</v>
      </c>
      <c r="AB4" s="7" t="s">
        <v>36</v>
      </c>
      <c r="AC4" s="7" t="str">
        <f t="shared" ref="AC4:AC23" si="16">LEFT(AA4,LEN(AA4)-1) &amp; "て"</f>
        <v>きいて</v>
      </c>
    </row>
    <row r="5" spans="1:29" x14ac:dyDescent="0.6">
      <c r="A5" s="7" t="s">
        <v>37</v>
      </c>
      <c r="B5" s="7" t="s">
        <v>152</v>
      </c>
      <c r="C5" s="6" t="s">
        <v>38</v>
      </c>
      <c r="D5" s="6" t="s">
        <v>18</v>
      </c>
      <c r="E5" s="6" t="s">
        <v>19</v>
      </c>
      <c r="F5" s="7" t="s">
        <v>39</v>
      </c>
      <c r="G5" s="7" t="s">
        <v>173</v>
      </c>
      <c r="H5" s="7" t="str">
        <f t="shared" si="0"/>
        <v>飲みます</v>
      </c>
      <c r="I5" s="7" t="str">
        <f t="shared" si="1"/>
        <v>のみます</v>
      </c>
      <c r="J5" s="7" t="str">
        <f t="shared" si="2"/>
        <v>飲みません</v>
      </c>
      <c r="K5" s="7" t="str">
        <f t="shared" si="3"/>
        <v>のみません</v>
      </c>
      <c r="L5" s="7" t="str">
        <f t="shared" si="4"/>
        <v>飲みました</v>
      </c>
      <c r="M5" s="7" t="str">
        <f t="shared" si="5"/>
        <v>のみました</v>
      </c>
      <c r="N5" s="7" t="str">
        <f t="shared" si="6"/>
        <v>飲みませんでした</v>
      </c>
      <c r="O5" s="7" t="str">
        <f t="shared" si="7"/>
        <v>のみませんでした</v>
      </c>
      <c r="P5" s="7" t="str">
        <f t="shared" si="8"/>
        <v>飲みましょう</v>
      </c>
      <c r="Q5" s="7" t="str">
        <f t="shared" si="9"/>
        <v>のみましょう</v>
      </c>
      <c r="R5" s="7" t="str">
        <f t="shared" si="10"/>
        <v>飲みたい</v>
      </c>
      <c r="S5" s="7" t="str">
        <f t="shared" si="11"/>
        <v>のみたい</v>
      </c>
      <c r="T5" s="7" t="s">
        <v>40</v>
      </c>
      <c r="U5" s="7" t="s">
        <v>202</v>
      </c>
      <c r="V5" s="7" t="str">
        <f t="shared" si="12"/>
        <v>飲まない</v>
      </c>
      <c r="W5" s="7" t="str">
        <f t="shared" si="13"/>
        <v>のまない</v>
      </c>
      <c r="X5" s="7" t="str">
        <f t="shared" si="14"/>
        <v>飲まなかった</v>
      </c>
      <c r="Y5" s="7" t="str">
        <f t="shared" si="15"/>
        <v>のまなかった</v>
      </c>
      <c r="Z5" s="7" t="s">
        <v>41</v>
      </c>
      <c r="AA5" s="7" t="s">
        <v>227</v>
      </c>
      <c r="AB5" s="7" t="s">
        <v>42</v>
      </c>
      <c r="AC5" s="7" t="str">
        <f t="shared" si="16"/>
        <v>のんて</v>
      </c>
    </row>
    <row r="6" spans="1:29" x14ac:dyDescent="0.6">
      <c r="A6" s="7" t="s">
        <v>43</v>
      </c>
      <c r="B6" s="7" t="s">
        <v>153</v>
      </c>
      <c r="C6" s="6" t="s">
        <v>44</v>
      </c>
      <c r="D6" s="6" t="s">
        <v>18</v>
      </c>
      <c r="E6" s="6" t="s">
        <v>19</v>
      </c>
      <c r="F6" s="7" t="s">
        <v>45</v>
      </c>
      <c r="G6" s="7" t="s">
        <v>174</v>
      </c>
      <c r="H6" s="7" t="str">
        <f t="shared" si="0"/>
        <v>話します</v>
      </c>
      <c r="I6" s="7" t="str">
        <f t="shared" si="1"/>
        <v>はなします</v>
      </c>
      <c r="J6" s="7" t="str">
        <f t="shared" si="2"/>
        <v>話しません</v>
      </c>
      <c r="K6" s="7" t="str">
        <f t="shared" si="3"/>
        <v>はなしません</v>
      </c>
      <c r="L6" s="7" t="str">
        <f t="shared" si="4"/>
        <v>話しました</v>
      </c>
      <c r="M6" s="7" t="str">
        <f t="shared" si="5"/>
        <v>はなしました</v>
      </c>
      <c r="N6" s="7" t="str">
        <f t="shared" si="6"/>
        <v>話しませんでした</v>
      </c>
      <c r="O6" s="7" t="str">
        <f t="shared" si="7"/>
        <v>はなしませんでした</v>
      </c>
      <c r="P6" s="7" t="str">
        <f t="shared" si="8"/>
        <v>話しましょう</v>
      </c>
      <c r="Q6" s="7" t="str">
        <f t="shared" si="9"/>
        <v>はなしましょう</v>
      </c>
      <c r="R6" s="7" t="str">
        <f t="shared" si="10"/>
        <v>話したい</v>
      </c>
      <c r="S6" s="7" t="str">
        <f t="shared" si="11"/>
        <v>はなしたい</v>
      </c>
      <c r="T6" s="7" t="s">
        <v>46</v>
      </c>
      <c r="U6" s="7" t="s">
        <v>212</v>
      </c>
      <c r="V6" s="7" t="str">
        <f t="shared" si="12"/>
        <v>話さない</v>
      </c>
      <c r="W6" s="7" t="str">
        <f t="shared" si="13"/>
        <v>はなさない</v>
      </c>
      <c r="X6" s="7" t="str">
        <f t="shared" si="14"/>
        <v>話さなかった</v>
      </c>
      <c r="Y6" s="7" t="str">
        <f t="shared" si="15"/>
        <v>はなさなかった</v>
      </c>
      <c r="Z6" s="7" t="s">
        <v>47</v>
      </c>
      <c r="AA6" s="7" t="s">
        <v>228</v>
      </c>
      <c r="AB6" s="7" t="s">
        <v>48</v>
      </c>
      <c r="AC6" s="7" t="str">
        <f t="shared" si="16"/>
        <v>はなして</v>
      </c>
    </row>
    <row r="7" spans="1:29" x14ac:dyDescent="0.6">
      <c r="A7" s="7" t="s">
        <v>49</v>
      </c>
      <c r="B7" s="7" t="s">
        <v>154</v>
      </c>
      <c r="C7" s="6" t="s">
        <v>50</v>
      </c>
      <c r="D7" s="6" t="s">
        <v>18</v>
      </c>
      <c r="E7" s="6" t="s">
        <v>19</v>
      </c>
      <c r="F7" s="7" t="s">
        <v>51</v>
      </c>
      <c r="G7" s="7" t="s">
        <v>175</v>
      </c>
      <c r="H7" s="7" t="str">
        <f t="shared" si="0"/>
        <v>読みます</v>
      </c>
      <c r="I7" s="7" t="str">
        <f t="shared" si="1"/>
        <v>よみます</v>
      </c>
      <c r="J7" s="7" t="str">
        <f t="shared" si="2"/>
        <v>読みません</v>
      </c>
      <c r="K7" s="7" t="str">
        <f t="shared" si="3"/>
        <v>よみません</v>
      </c>
      <c r="L7" s="7" t="str">
        <f t="shared" si="4"/>
        <v>読みました</v>
      </c>
      <c r="M7" s="7" t="str">
        <f t="shared" si="5"/>
        <v>よみました</v>
      </c>
      <c r="N7" s="7" t="str">
        <f t="shared" si="6"/>
        <v>読みませんでした</v>
      </c>
      <c r="O7" s="7" t="str">
        <f t="shared" si="7"/>
        <v>よみませんでした</v>
      </c>
      <c r="P7" s="7" t="str">
        <f t="shared" si="8"/>
        <v>読みましょう</v>
      </c>
      <c r="Q7" s="7" t="str">
        <f t="shared" si="9"/>
        <v>よみましょう</v>
      </c>
      <c r="R7" s="7" t="str">
        <f t="shared" si="10"/>
        <v>読みたい</v>
      </c>
      <c r="S7" s="7" t="str">
        <f t="shared" si="11"/>
        <v>よみたい</v>
      </c>
      <c r="T7" s="7" t="s">
        <v>52</v>
      </c>
      <c r="U7" s="7" t="s">
        <v>203</v>
      </c>
      <c r="V7" s="7" t="str">
        <f t="shared" si="12"/>
        <v>読まない</v>
      </c>
      <c r="W7" s="7" t="str">
        <f t="shared" si="13"/>
        <v>よまない</v>
      </c>
      <c r="X7" s="7" t="str">
        <f t="shared" si="14"/>
        <v>読まなかった</v>
      </c>
      <c r="Y7" s="7" t="str">
        <f t="shared" si="15"/>
        <v>よまなかった</v>
      </c>
      <c r="Z7" s="7" t="s">
        <v>53</v>
      </c>
      <c r="AA7" s="7" t="s">
        <v>229</v>
      </c>
      <c r="AB7" s="7" t="s">
        <v>54</v>
      </c>
      <c r="AC7" s="7" t="str">
        <f t="shared" si="16"/>
        <v>よんて</v>
      </c>
    </row>
    <row r="8" spans="1:29" x14ac:dyDescent="0.6">
      <c r="A8" s="7" t="s">
        <v>55</v>
      </c>
      <c r="B8" s="7" t="s">
        <v>155</v>
      </c>
      <c r="C8" s="6" t="s">
        <v>56</v>
      </c>
      <c r="D8" s="6" t="s">
        <v>18</v>
      </c>
      <c r="E8" s="6" t="s">
        <v>19</v>
      </c>
      <c r="F8" s="7" t="s">
        <v>57</v>
      </c>
      <c r="G8" s="7" t="s">
        <v>176</v>
      </c>
      <c r="H8" s="7" t="str">
        <f t="shared" si="0"/>
        <v>会います</v>
      </c>
      <c r="I8" s="7" t="str">
        <f t="shared" si="1"/>
        <v>あいます</v>
      </c>
      <c r="J8" s="7" t="str">
        <f t="shared" si="2"/>
        <v>会いません</v>
      </c>
      <c r="K8" s="7" t="str">
        <f t="shared" si="3"/>
        <v>あいません</v>
      </c>
      <c r="L8" s="7" t="str">
        <f t="shared" si="4"/>
        <v>会いました</v>
      </c>
      <c r="M8" s="7" t="str">
        <f t="shared" si="5"/>
        <v>あいました</v>
      </c>
      <c r="N8" s="7" t="str">
        <f t="shared" si="6"/>
        <v>会いませんでした</v>
      </c>
      <c r="O8" s="7" t="str">
        <f t="shared" si="7"/>
        <v>あいませんでした</v>
      </c>
      <c r="P8" s="7" t="str">
        <f t="shared" si="8"/>
        <v>会いましょう</v>
      </c>
      <c r="Q8" s="7" t="str">
        <f t="shared" si="9"/>
        <v>あいましょう</v>
      </c>
      <c r="R8" s="7" t="str">
        <f t="shared" si="10"/>
        <v>会いたい</v>
      </c>
      <c r="S8" s="7" t="str">
        <f t="shared" si="11"/>
        <v>あいたい</v>
      </c>
      <c r="T8" s="7" t="s">
        <v>58</v>
      </c>
      <c r="U8" s="7" t="s">
        <v>204</v>
      </c>
      <c r="V8" s="7" t="str">
        <f t="shared" si="12"/>
        <v>会わない</v>
      </c>
      <c r="W8" s="7" t="str">
        <f t="shared" si="13"/>
        <v>あわない</v>
      </c>
      <c r="X8" s="7" t="str">
        <f t="shared" si="14"/>
        <v>会わなかった</v>
      </c>
      <c r="Y8" s="7" t="str">
        <f t="shared" si="15"/>
        <v>あわなかった</v>
      </c>
      <c r="Z8" s="7" t="s">
        <v>59</v>
      </c>
      <c r="AA8" s="7" t="s">
        <v>67</v>
      </c>
      <c r="AB8" s="7" t="s">
        <v>60</v>
      </c>
      <c r="AC8" s="7" t="str">
        <f t="shared" si="16"/>
        <v>あって</v>
      </c>
    </row>
    <row r="9" spans="1:29" x14ac:dyDescent="0.6">
      <c r="A9" s="7" t="s">
        <v>61</v>
      </c>
      <c r="B9" s="7" t="s">
        <v>61</v>
      </c>
      <c r="C9" s="6" t="s">
        <v>62</v>
      </c>
      <c r="D9" s="6" t="s">
        <v>18</v>
      </c>
      <c r="E9" s="6" t="s">
        <v>19</v>
      </c>
      <c r="F9" s="7" t="s">
        <v>63</v>
      </c>
      <c r="G9" s="7" t="s">
        <v>63</v>
      </c>
      <c r="H9" s="7" t="str">
        <f t="shared" si="0"/>
        <v>あります</v>
      </c>
      <c r="I9" s="7" t="str">
        <f t="shared" si="1"/>
        <v>あります</v>
      </c>
      <c r="J9" s="7" t="str">
        <f t="shared" si="2"/>
        <v>ありません</v>
      </c>
      <c r="K9" s="7" t="str">
        <f t="shared" si="3"/>
        <v>ありません</v>
      </c>
      <c r="L9" s="7" t="str">
        <f t="shared" si="4"/>
        <v>ありました</v>
      </c>
      <c r="M9" s="7" t="str">
        <f t="shared" si="5"/>
        <v>ありました</v>
      </c>
      <c r="N9" s="7" t="str">
        <f t="shared" si="6"/>
        <v>ありませんでした</v>
      </c>
      <c r="O9" s="7" t="str">
        <f t="shared" si="7"/>
        <v>ありませんでした</v>
      </c>
      <c r="P9" s="7" t="str">
        <f t="shared" si="8"/>
        <v>ありましょう</v>
      </c>
      <c r="Q9" s="7" t="str">
        <f t="shared" si="9"/>
        <v>ありましょう</v>
      </c>
      <c r="R9" s="7" t="str">
        <f t="shared" si="10"/>
        <v>ありたい</v>
      </c>
      <c r="S9" s="7" t="str">
        <f t="shared" si="11"/>
        <v>ありたい</v>
      </c>
      <c r="T9" s="8" t="s">
        <v>64</v>
      </c>
      <c r="U9" s="8" t="s">
        <v>64</v>
      </c>
      <c r="V9" s="8" t="s">
        <v>65</v>
      </c>
      <c r="W9" s="8" t="s">
        <v>236</v>
      </c>
      <c r="X9" s="8" t="s">
        <v>66</v>
      </c>
      <c r="Y9" s="8" t="s">
        <v>235</v>
      </c>
      <c r="Z9" s="7" t="s">
        <v>67</v>
      </c>
      <c r="AA9" s="7" t="s">
        <v>67</v>
      </c>
      <c r="AB9" s="7" t="s">
        <v>68</v>
      </c>
      <c r="AC9" s="7" t="str">
        <f t="shared" si="16"/>
        <v>あって</v>
      </c>
    </row>
    <row r="10" spans="1:29" x14ac:dyDescent="0.6">
      <c r="A10" s="7" t="s">
        <v>69</v>
      </c>
      <c r="B10" s="7" t="s">
        <v>156</v>
      </c>
      <c r="C10" s="6" t="s">
        <v>70</v>
      </c>
      <c r="D10" s="6" t="s">
        <v>18</v>
      </c>
      <c r="E10" s="6" t="s">
        <v>19</v>
      </c>
      <c r="F10" s="7" t="s">
        <v>71</v>
      </c>
      <c r="G10" s="7" t="s">
        <v>177</v>
      </c>
      <c r="H10" s="7" t="str">
        <f t="shared" si="0"/>
        <v>買います</v>
      </c>
      <c r="I10" s="7" t="str">
        <f t="shared" si="1"/>
        <v>かいます</v>
      </c>
      <c r="J10" s="7" t="str">
        <f t="shared" si="2"/>
        <v>買いません</v>
      </c>
      <c r="K10" s="7" t="str">
        <f t="shared" si="3"/>
        <v>かいません</v>
      </c>
      <c r="L10" s="7" t="str">
        <f t="shared" si="4"/>
        <v>買いました</v>
      </c>
      <c r="M10" s="7" t="str">
        <f t="shared" si="5"/>
        <v>かいました</v>
      </c>
      <c r="N10" s="7" t="str">
        <f t="shared" si="6"/>
        <v>買いませんでした</v>
      </c>
      <c r="O10" s="7" t="str">
        <f t="shared" si="7"/>
        <v>かいませんでした</v>
      </c>
      <c r="P10" s="7" t="str">
        <f t="shared" si="8"/>
        <v>買いましょう</v>
      </c>
      <c r="Q10" s="7" t="str">
        <f t="shared" si="9"/>
        <v>かいましょう</v>
      </c>
      <c r="R10" s="7" t="str">
        <f t="shared" si="10"/>
        <v>買いたい</v>
      </c>
      <c r="S10" s="7" t="str">
        <f t="shared" si="11"/>
        <v>かいたい</v>
      </c>
      <c r="T10" s="7" t="s">
        <v>72</v>
      </c>
      <c r="U10" s="7" t="s">
        <v>205</v>
      </c>
      <c r="V10" s="7" t="str">
        <f t="shared" si="12"/>
        <v>買わない</v>
      </c>
      <c r="W10" s="7" t="str">
        <f t="shared" si="12"/>
        <v>かわない</v>
      </c>
      <c r="X10" s="7" t="str">
        <f>_xlfn.CONCAT(T10,"なかった")</f>
        <v>買わなかった</v>
      </c>
      <c r="Y10" s="7" t="str">
        <f>_xlfn.CONCAT(U10,"なかった")</f>
        <v>かわなかった</v>
      </c>
      <c r="Z10" s="7" t="s">
        <v>73</v>
      </c>
      <c r="AA10" s="7" t="s">
        <v>217</v>
      </c>
      <c r="AB10" s="7" t="s">
        <v>74</v>
      </c>
      <c r="AC10" s="7" t="str">
        <f t="shared" si="16"/>
        <v>かって</v>
      </c>
    </row>
    <row r="11" spans="1:29" x14ac:dyDescent="0.6">
      <c r="A11" s="7" t="s">
        <v>75</v>
      </c>
      <c r="B11" s="7" t="s">
        <v>157</v>
      </c>
      <c r="C11" s="6" t="s">
        <v>76</v>
      </c>
      <c r="D11" s="6" t="s">
        <v>18</v>
      </c>
      <c r="E11" s="6" t="s">
        <v>19</v>
      </c>
      <c r="F11" s="7" t="s">
        <v>77</v>
      </c>
      <c r="G11" s="7" t="s">
        <v>178</v>
      </c>
      <c r="H11" s="7" t="str">
        <f t="shared" si="0"/>
        <v>書きます</v>
      </c>
      <c r="I11" s="7" t="str">
        <f t="shared" si="1"/>
        <v>かきます</v>
      </c>
      <c r="J11" s="7" t="str">
        <f t="shared" si="2"/>
        <v>書きません</v>
      </c>
      <c r="K11" s="7" t="str">
        <f t="shared" si="3"/>
        <v>かきません</v>
      </c>
      <c r="L11" s="7" t="str">
        <f t="shared" si="4"/>
        <v>書きました</v>
      </c>
      <c r="M11" s="7" t="str">
        <f t="shared" si="5"/>
        <v>かきました</v>
      </c>
      <c r="N11" s="7" t="str">
        <f t="shared" si="6"/>
        <v>書きませんでした</v>
      </c>
      <c r="O11" s="7" t="str">
        <f t="shared" si="7"/>
        <v>かきませんでした</v>
      </c>
      <c r="P11" s="7" t="str">
        <f t="shared" si="8"/>
        <v>書きましょう</v>
      </c>
      <c r="Q11" s="7" t="str">
        <f t="shared" si="9"/>
        <v>かきましょう</v>
      </c>
      <c r="R11" s="7" t="str">
        <f t="shared" si="10"/>
        <v>書きたい</v>
      </c>
      <c r="S11" s="7" t="str">
        <f t="shared" si="11"/>
        <v>かきたい</v>
      </c>
      <c r="T11" s="7" t="s">
        <v>78</v>
      </c>
      <c r="U11" s="7" t="s">
        <v>206</v>
      </c>
      <c r="V11" s="7" t="str">
        <f t="shared" si="12"/>
        <v>書かない</v>
      </c>
      <c r="W11" s="7" t="str">
        <f t="shared" si="12"/>
        <v>かかない</v>
      </c>
      <c r="X11" s="7" t="str">
        <f t="shared" ref="X11:X24" si="17">_xlfn.CONCAT(T11,"なかった")</f>
        <v>書かなかった</v>
      </c>
      <c r="Y11" s="7" t="str">
        <f t="shared" ref="Y11:Y25" si="18">_xlfn.CONCAT(U11,"なかった")</f>
        <v>かかなかった</v>
      </c>
      <c r="Z11" s="7" t="s">
        <v>79</v>
      </c>
      <c r="AA11" s="7" t="s">
        <v>230</v>
      </c>
      <c r="AB11" s="7" t="s">
        <v>80</v>
      </c>
      <c r="AC11" s="7" t="str">
        <f t="shared" si="16"/>
        <v>かいて</v>
      </c>
    </row>
    <row r="12" spans="1:29" x14ac:dyDescent="0.6">
      <c r="A12" s="7" t="s">
        <v>81</v>
      </c>
      <c r="B12" s="7" t="s">
        <v>158</v>
      </c>
      <c r="C12" s="6" t="s">
        <v>82</v>
      </c>
      <c r="D12" s="6" t="s">
        <v>18</v>
      </c>
      <c r="E12" s="6" t="s">
        <v>19</v>
      </c>
      <c r="F12" s="7" t="s">
        <v>83</v>
      </c>
      <c r="G12" s="7" t="s">
        <v>179</v>
      </c>
      <c r="H12" s="7" t="str">
        <f t="shared" si="0"/>
        <v>撮ります</v>
      </c>
      <c r="I12" s="7" t="str">
        <f t="shared" si="1"/>
        <v>とります</v>
      </c>
      <c r="J12" s="7" t="str">
        <f t="shared" si="2"/>
        <v>撮りません</v>
      </c>
      <c r="K12" s="7" t="str">
        <f t="shared" si="3"/>
        <v>とりません</v>
      </c>
      <c r="L12" s="7" t="str">
        <f t="shared" si="4"/>
        <v>撮りました</v>
      </c>
      <c r="M12" s="7" t="str">
        <f t="shared" si="5"/>
        <v>とりました</v>
      </c>
      <c r="N12" s="7" t="str">
        <f t="shared" si="6"/>
        <v>撮りませんでした</v>
      </c>
      <c r="O12" s="7" t="str">
        <f t="shared" si="7"/>
        <v>とりませんでした</v>
      </c>
      <c r="P12" s="7" t="str">
        <f t="shared" si="8"/>
        <v>撮りましょう</v>
      </c>
      <c r="Q12" s="7" t="str">
        <f t="shared" si="9"/>
        <v>とりましょう</v>
      </c>
      <c r="R12" s="7" t="str">
        <f t="shared" si="10"/>
        <v>撮りたい</v>
      </c>
      <c r="S12" s="7" t="str">
        <f t="shared" si="11"/>
        <v>とりたい</v>
      </c>
      <c r="T12" s="7" t="s">
        <v>84</v>
      </c>
      <c r="U12" s="7" t="s">
        <v>207</v>
      </c>
      <c r="V12" s="7" t="str">
        <f t="shared" si="12"/>
        <v>撮らない</v>
      </c>
      <c r="W12" s="7" t="str">
        <f t="shared" si="12"/>
        <v>とらない</v>
      </c>
      <c r="X12" s="7" t="str">
        <f t="shared" si="17"/>
        <v>撮らなかった</v>
      </c>
      <c r="Y12" s="7" t="str">
        <f t="shared" si="18"/>
        <v>とらなかった</v>
      </c>
      <c r="Z12" s="7" t="s">
        <v>85</v>
      </c>
      <c r="AA12" s="7" t="s">
        <v>219</v>
      </c>
      <c r="AB12" s="7" t="s">
        <v>86</v>
      </c>
      <c r="AC12" s="7" t="str">
        <f t="shared" si="16"/>
        <v>とって</v>
      </c>
    </row>
    <row r="13" spans="1:29" x14ac:dyDescent="0.6">
      <c r="A13" s="7" t="s">
        <v>87</v>
      </c>
      <c r="B13" s="7" t="s">
        <v>159</v>
      </c>
      <c r="C13" s="6" t="s">
        <v>88</v>
      </c>
      <c r="D13" s="6" t="s">
        <v>18</v>
      </c>
      <c r="E13" s="6" t="s">
        <v>19</v>
      </c>
      <c r="F13" s="7" t="s">
        <v>89</v>
      </c>
      <c r="G13" s="7" t="s">
        <v>180</v>
      </c>
      <c r="H13" s="7" t="str">
        <f t="shared" si="0"/>
        <v>待ちます</v>
      </c>
      <c r="I13" s="7" t="str">
        <f t="shared" si="1"/>
        <v>まちます</v>
      </c>
      <c r="J13" s="7" t="str">
        <f t="shared" si="2"/>
        <v>待ちません</v>
      </c>
      <c r="K13" s="7" t="str">
        <f t="shared" si="3"/>
        <v>まちません</v>
      </c>
      <c r="L13" s="7" t="str">
        <f t="shared" si="4"/>
        <v>待ちました</v>
      </c>
      <c r="M13" s="7" t="str">
        <f t="shared" si="5"/>
        <v>まちました</v>
      </c>
      <c r="N13" s="7" t="str">
        <f t="shared" si="6"/>
        <v>待ちませんでした</v>
      </c>
      <c r="O13" s="7" t="str">
        <f t="shared" si="7"/>
        <v>まちませんでした</v>
      </c>
      <c r="P13" s="7" t="str">
        <f t="shared" si="8"/>
        <v>待ちましょう</v>
      </c>
      <c r="Q13" s="7" t="str">
        <f t="shared" si="9"/>
        <v>まちましょう</v>
      </c>
      <c r="R13" s="7" t="str">
        <f t="shared" si="10"/>
        <v>待ちたい</v>
      </c>
      <c r="S13" s="7" t="str">
        <f t="shared" si="11"/>
        <v>まちたい</v>
      </c>
      <c r="T13" s="7" t="s">
        <v>90</v>
      </c>
      <c r="U13" s="7" t="s">
        <v>208</v>
      </c>
      <c r="V13" s="7" t="str">
        <f t="shared" si="12"/>
        <v>待たない</v>
      </c>
      <c r="W13" s="7" t="str">
        <f t="shared" si="12"/>
        <v>またない</v>
      </c>
      <c r="X13" s="7" t="str">
        <f t="shared" si="17"/>
        <v>待たなかった</v>
      </c>
      <c r="Y13" s="7" t="str">
        <f t="shared" si="18"/>
        <v>またなかった</v>
      </c>
      <c r="Z13" s="7" t="s">
        <v>91</v>
      </c>
      <c r="AA13" s="7" t="s">
        <v>220</v>
      </c>
      <c r="AB13" s="7" t="s">
        <v>92</v>
      </c>
      <c r="AC13" s="7" t="str">
        <f t="shared" si="16"/>
        <v>まって</v>
      </c>
    </row>
    <row r="14" spans="1:29" x14ac:dyDescent="0.6">
      <c r="A14" s="7" t="s">
        <v>93</v>
      </c>
      <c r="B14" s="7" t="s">
        <v>160</v>
      </c>
      <c r="C14" s="6" t="s">
        <v>94</v>
      </c>
      <c r="D14" s="6" t="s">
        <v>18</v>
      </c>
      <c r="E14" s="6" t="s">
        <v>19</v>
      </c>
      <c r="F14" s="7" t="s">
        <v>95</v>
      </c>
      <c r="G14" s="7" t="s">
        <v>181</v>
      </c>
      <c r="H14" s="7" t="str">
        <f t="shared" si="0"/>
        <v>分かります</v>
      </c>
      <c r="I14" s="7" t="str">
        <f t="shared" si="1"/>
        <v>わかります</v>
      </c>
      <c r="J14" s="7" t="str">
        <f t="shared" si="2"/>
        <v>分かりません</v>
      </c>
      <c r="K14" s="7" t="str">
        <f t="shared" si="3"/>
        <v>わかりません</v>
      </c>
      <c r="L14" s="7" t="str">
        <f t="shared" si="4"/>
        <v>分かりました</v>
      </c>
      <c r="M14" s="7" t="str">
        <f t="shared" si="5"/>
        <v>わかりました</v>
      </c>
      <c r="N14" s="7" t="str">
        <f t="shared" si="6"/>
        <v>分かりませんでした</v>
      </c>
      <c r="O14" s="7" t="str">
        <f t="shared" si="7"/>
        <v>わかりませんでした</v>
      </c>
      <c r="P14" s="7" t="str">
        <f t="shared" si="8"/>
        <v>分かりましょう</v>
      </c>
      <c r="Q14" s="7" t="str">
        <f t="shared" si="9"/>
        <v>わかりましょう</v>
      </c>
      <c r="R14" s="7" t="str">
        <f t="shared" si="10"/>
        <v>分かりたい</v>
      </c>
      <c r="S14" s="7" t="str">
        <f t="shared" si="11"/>
        <v>わかりたい</v>
      </c>
      <c r="T14" s="7" t="s">
        <v>96</v>
      </c>
      <c r="U14" s="7" t="s">
        <v>209</v>
      </c>
      <c r="V14" s="7" t="str">
        <f t="shared" si="12"/>
        <v>分からない</v>
      </c>
      <c r="W14" s="7" t="str">
        <f t="shared" si="12"/>
        <v>わからない</v>
      </c>
      <c r="X14" s="7" t="str">
        <f t="shared" si="17"/>
        <v>分からなかった</v>
      </c>
      <c r="Y14" s="7" t="str">
        <f t="shared" si="18"/>
        <v>わからなかった</v>
      </c>
      <c r="Z14" s="7" t="s">
        <v>97</v>
      </c>
      <c r="AA14" s="7" t="s">
        <v>221</v>
      </c>
      <c r="AB14" s="7" t="s">
        <v>98</v>
      </c>
      <c r="AC14" s="7" t="str">
        <f t="shared" si="16"/>
        <v>わかって</v>
      </c>
    </row>
    <row r="15" spans="1:29" x14ac:dyDescent="0.6">
      <c r="A15" s="7" t="s">
        <v>99</v>
      </c>
      <c r="B15" s="7" t="s">
        <v>161</v>
      </c>
      <c r="C15" s="6" t="s">
        <v>100</v>
      </c>
      <c r="D15" s="6" t="s">
        <v>18</v>
      </c>
      <c r="E15" s="6" t="s">
        <v>19</v>
      </c>
      <c r="F15" s="7" t="s">
        <v>101</v>
      </c>
      <c r="G15" s="7" t="s">
        <v>182</v>
      </c>
      <c r="H15" s="7" t="str">
        <f t="shared" si="0"/>
        <v>泳ぎます</v>
      </c>
      <c r="I15" s="7" t="str">
        <f t="shared" si="1"/>
        <v>およぎます</v>
      </c>
      <c r="J15" s="7" t="str">
        <f t="shared" si="2"/>
        <v>泳ぎません</v>
      </c>
      <c r="K15" s="7" t="str">
        <f t="shared" si="3"/>
        <v>およぎません</v>
      </c>
      <c r="L15" s="7" t="str">
        <f t="shared" si="4"/>
        <v>泳ぎました</v>
      </c>
      <c r="M15" s="7" t="str">
        <f t="shared" si="5"/>
        <v>およぎました</v>
      </c>
      <c r="N15" s="7" t="str">
        <f t="shared" si="6"/>
        <v>泳ぎませんでした</v>
      </c>
      <c r="O15" s="7" t="str">
        <f t="shared" si="7"/>
        <v>およぎませんでした</v>
      </c>
      <c r="P15" s="7" t="str">
        <f t="shared" si="8"/>
        <v>泳ぎましょう</v>
      </c>
      <c r="Q15" s="7" t="str">
        <f t="shared" si="9"/>
        <v>およぎましょう</v>
      </c>
      <c r="R15" s="7" t="str">
        <f t="shared" si="10"/>
        <v>泳ぎたい</v>
      </c>
      <c r="S15" s="7" t="str">
        <f t="shared" si="11"/>
        <v>およぎたい</v>
      </c>
      <c r="T15" s="7" t="s">
        <v>102</v>
      </c>
      <c r="U15" s="7" t="s">
        <v>213</v>
      </c>
      <c r="V15" s="7" t="str">
        <f t="shared" si="12"/>
        <v>泳がない</v>
      </c>
      <c r="W15" s="7" t="str">
        <f t="shared" si="12"/>
        <v>およがない</v>
      </c>
      <c r="X15" s="7" t="str">
        <f t="shared" si="17"/>
        <v>泳がなかった</v>
      </c>
      <c r="Y15" s="7" t="str">
        <f t="shared" si="18"/>
        <v>およがなかった</v>
      </c>
      <c r="Z15" s="7" t="s">
        <v>103</v>
      </c>
      <c r="AA15" s="7" t="s">
        <v>231</v>
      </c>
      <c r="AB15" s="7" t="s">
        <v>104</v>
      </c>
      <c r="AC15" s="7" t="str">
        <f t="shared" si="16"/>
        <v>およいて</v>
      </c>
    </row>
    <row r="16" spans="1:29" x14ac:dyDescent="0.6">
      <c r="A16" s="7" t="s">
        <v>105</v>
      </c>
      <c r="B16" s="7" t="s">
        <v>162</v>
      </c>
      <c r="C16" s="6" t="s">
        <v>106</v>
      </c>
      <c r="D16" s="6" t="s">
        <v>18</v>
      </c>
      <c r="E16" s="6" t="s">
        <v>19</v>
      </c>
      <c r="F16" s="7" t="s">
        <v>107</v>
      </c>
      <c r="G16" s="7" t="s">
        <v>183</v>
      </c>
      <c r="H16" s="7" t="str">
        <f t="shared" si="0"/>
        <v>乗ります</v>
      </c>
      <c r="I16" s="7" t="str">
        <f t="shared" si="1"/>
        <v>のります</v>
      </c>
      <c r="J16" s="7" t="str">
        <f t="shared" si="2"/>
        <v>乗りません</v>
      </c>
      <c r="K16" s="7" t="str">
        <f t="shared" si="3"/>
        <v>のりません</v>
      </c>
      <c r="L16" s="7" t="str">
        <f t="shared" si="4"/>
        <v>乗りました</v>
      </c>
      <c r="M16" s="7" t="str">
        <f t="shared" si="5"/>
        <v>のりました</v>
      </c>
      <c r="N16" s="7" t="str">
        <f t="shared" si="6"/>
        <v>乗りませんでした</v>
      </c>
      <c r="O16" s="7" t="str">
        <f t="shared" si="7"/>
        <v>のりませんでした</v>
      </c>
      <c r="P16" s="7" t="str">
        <f t="shared" si="8"/>
        <v>乗りましょう</v>
      </c>
      <c r="Q16" s="7" t="str">
        <f t="shared" si="9"/>
        <v>のりましょう</v>
      </c>
      <c r="R16" s="7" t="str">
        <f t="shared" si="10"/>
        <v>乗りたい</v>
      </c>
      <c r="S16" s="7" t="str">
        <f t="shared" si="11"/>
        <v>のりたい</v>
      </c>
      <c r="T16" s="7" t="s">
        <v>108</v>
      </c>
      <c r="U16" s="7" t="s">
        <v>210</v>
      </c>
      <c r="V16" s="7" t="str">
        <f t="shared" si="12"/>
        <v>乗らない</v>
      </c>
      <c r="W16" s="7" t="str">
        <f t="shared" si="12"/>
        <v>のらない</v>
      </c>
      <c r="X16" s="7" t="str">
        <f t="shared" si="17"/>
        <v>乗らなかった</v>
      </c>
      <c r="Y16" s="7" t="str">
        <f t="shared" si="18"/>
        <v>のらなかった</v>
      </c>
      <c r="Z16" s="7" t="s">
        <v>109</v>
      </c>
      <c r="AA16" s="7" t="s">
        <v>218</v>
      </c>
      <c r="AB16" s="7" t="s">
        <v>110</v>
      </c>
      <c r="AC16" s="7" t="str">
        <f t="shared" si="16"/>
        <v>のって</v>
      </c>
    </row>
    <row r="17" spans="1:29" x14ac:dyDescent="0.6">
      <c r="A17" s="7" t="s">
        <v>111</v>
      </c>
      <c r="B17" s="7" t="s">
        <v>111</v>
      </c>
      <c r="C17" s="6" t="s">
        <v>112</v>
      </c>
      <c r="D17" s="6" t="s">
        <v>18</v>
      </c>
      <c r="E17" s="6" t="s">
        <v>19</v>
      </c>
      <c r="F17" s="7" t="s">
        <v>113</v>
      </c>
      <c r="G17" s="7" t="s">
        <v>113</v>
      </c>
      <c r="H17" s="7" t="str">
        <f t="shared" si="0"/>
        <v>やります</v>
      </c>
      <c r="I17" s="7" t="str">
        <f t="shared" si="1"/>
        <v>やります</v>
      </c>
      <c r="J17" s="7" t="str">
        <f t="shared" si="2"/>
        <v>やりません</v>
      </c>
      <c r="K17" s="7" t="str">
        <f t="shared" si="3"/>
        <v>やりません</v>
      </c>
      <c r="L17" s="7" t="str">
        <f t="shared" si="4"/>
        <v>やりました</v>
      </c>
      <c r="M17" s="7" t="str">
        <f t="shared" si="5"/>
        <v>やりました</v>
      </c>
      <c r="N17" s="7" t="str">
        <f t="shared" si="6"/>
        <v>やりませんでした</v>
      </c>
      <c r="O17" s="7" t="str">
        <f t="shared" si="7"/>
        <v>やりませんでした</v>
      </c>
      <c r="P17" s="7" t="str">
        <f t="shared" si="8"/>
        <v>やりましょう</v>
      </c>
      <c r="Q17" s="7" t="str">
        <f t="shared" si="9"/>
        <v>やりましょう</v>
      </c>
      <c r="R17" s="7" t="str">
        <f t="shared" si="10"/>
        <v>やりたい</v>
      </c>
      <c r="S17" s="7" t="str">
        <f t="shared" si="11"/>
        <v>やりたい</v>
      </c>
      <c r="T17" s="7" t="s">
        <v>114</v>
      </c>
      <c r="U17" s="7" t="s">
        <v>114</v>
      </c>
      <c r="V17" s="7" t="str">
        <f t="shared" si="12"/>
        <v>やらない</v>
      </c>
      <c r="W17" s="7" t="str">
        <f t="shared" si="12"/>
        <v>やらない</v>
      </c>
      <c r="X17" s="7" t="str">
        <f t="shared" si="17"/>
        <v>やらなかった</v>
      </c>
      <c r="Y17" s="7" t="str">
        <f t="shared" si="18"/>
        <v>やらなかった</v>
      </c>
      <c r="Z17" s="7" t="s">
        <v>115</v>
      </c>
      <c r="AA17" s="7" t="s">
        <v>115</v>
      </c>
      <c r="AB17" s="7" t="s">
        <v>116</v>
      </c>
      <c r="AC17" s="7" t="str">
        <f t="shared" si="16"/>
        <v>やって</v>
      </c>
    </row>
    <row r="18" spans="1:29" x14ac:dyDescent="0.6">
      <c r="A18" s="7" t="s">
        <v>117</v>
      </c>
      <c r="B18" s="7" t="s">
        <v>163</v>
      </c>
      <c r="C18" s="6" t="s">
        <v>118</v>
      </c>
      <c r="D18" s="6" t="s">
        <v>119</v>
      </c>
      <c r="E18" s="6" t="s">
        <v>120</v>
      </c>
      <c r="F18" s="7" t="s">
        <v>121</v>
      </c>
      <c r="G18" s="7" t="s">
        <v>184</v>
      </c>
      <c r="H18" s="7" t="str">
        <f t="shared" si="0"/>
        <v>出かけます</v>
      </c>
      <c r="I18" s="7" t="str">
        <f t="shared" si="1"/>
        <v>でかけます</v>
      </c>
      <c r="J18" s="7" t="str">
        <f t="shared" si="2"/>
        <v>出かけません</v>
      </c>
      <c r="K18" s="7" t="str">
        <f t="shared" si="3"/>
        <v>でかけません</v>
      </c>
      <c r="L18" s="7" t="str">
        <f t="shared" si="4"/>
        <v>出かけました</v>
      </c>
      <c r="M18" s="7" t="str">
        <f t="shared" si="5"/>
        <v>でかけました</v>
      </c>
      <c r="N18" s="7" t="str">
        <f t="shared" si="6"/>
        <v>出かけませんでした</v>
      </c>
      <c r="O18" s="7" t="str">
        <f t="shared" si="7"/>
        <v>でかけませんでした</v>
      </c>
      <c r="P18" s="7" t="str">
        <f t="shared" si="8"/>
        <v>出かけましょう</v>
      </c>
      <c r="Q18" s="7" t="str">
        <f t="shared" si="9"/>
        <v>でかけましょう</v>
      </c>
      <c r="R18" s="7" t="str">
        <f t="shared" si="10"/>
        <v>出かけたい</v>
      </c>
      <c r="S18" s="7" t="str">
        <f t="shared" si="11"/>
        <v>でかけたい</v>
      </c>
      <c r="T18" s="7" t="s">
        <v>121</v>
      </c>
      <c r="U18" s="7" t="str">
        <f>G18</f>
        <v>でかけ</v>
      </c>
      <c r="V18" s="7" t="str">
        <f t="shared" si="12"/>
        <v>出かけない</v>
      </c>
      <c r="W18" s="7" t="str">
        <f t="shared" si="12"/>
        <v>でかけない</v>
      </c>
      <c r="X18" s="7" t="str">
        <f t="shared" si="17"/>
        <v>出かけなかった</v>
      </c>
      <c r="Y18" s="7" t="str">
        <f t="shared" si="18"/>
        <v>でかけなかった</v>
      </c>
      <c r="Z18" s="7" t="str">
        <f>_xlfn.CONCAT(F18,"た")</f>
        <v>出かけた</v>
      </c>
      <c r="AA18" s="7" t="s">
        <v>232</v>
      </c>
      <c r="AB18" s="7" t="str">
        <f>_xlfn.CONCAT(F18,"て")</f>
        <v>出かけて</v>
      </c>
      <c r="AC18" s="7" t="str">
        <f t="shared" si="16"/>
        <v>でかけて</v>
      </c>
    </row>
    <row r="19" spans="1:29" x14ac:dyDescent="0.6">
      <c r="A19" s="7" t="s">
        <v>122</v>
      </c>
      <c r="B19" s="7" t="s">
        <v>122</v>
      </c>
      <c r="C19" s="6" t="s">
        <v>123</v>
      </c>
      <c r="D19" s="6" t="s">
        <v>119</v>
      </c>
      <c r="E19" s="6" t="s">
        <v>120</v>
      </c>
      <c r="F19" s="7" t="s">
        <v>124</v>
      </c>
      <c r="G19" s="7" t="s">
        <v>124</v>
      </c>
      <c r="H19" s="7" t="str">
        <f t="shared" si="0"/>
        <v>います</v>
      </c>
      <c r="I19" s="7" t="str">
        <f t="shared" si="1"/>
        <v>います</v>
      </c>
      <c r="J19" s="7" t="str">
        <f t="shared" si="2"/>
        <v>いません</v>
      </c>
      <c r="K19" s="7" t="str">
        <f t="shared" si="3"/>
        <v>いません</v>
      </c>
      <c r="L19" s="7" t="str">
        <f t="shared" si="4"/>
        <v>いました</v>
      </c>
      <c r="M19" s="7" t="str">
        <f t="shared" si="5"/>
        <v>いました</v>
      </c>
      <c r="N19" s="7" t="str">
        <f t="shared" si="6"/>
        <v>いませんでした</v>
      </c>
      <c r="O19" s="7" t="str">
        <f t="shared" si="7"/>
        <v>いませんでした</v>
      </c>
      <c r="P19" s="7" t="str">
        <f t="shared" si="8"/>
        <v>いましょう</v>
      </c>
      <c r="Q19" s="7" t="str">
        <f t="shared" si="9"/>
        <v>いましょう</v>
      </c>
      <c r="R19" s="7" t="str">
        <f t="shared" si="10"/>
        <v>いたい</v>
      </c>
      <c r="S19" s="7" t="str">
        <f t="shared" si="11"/>
        <v>いたい</v>
      </c>
      <c r="T19" s="7" t="s">
        <v>124</v>
      </c>
      <c r="U19" s="7" t="str">
        <f t="shared" ref="U19:U23" si="19">G19</f>
        <v>い</v>
      </c>
      <c r="V19" s="7" t="str">
        <f t="shared" si="12"/>
        <v>いない</v>
      </c>
      <c r="W19" s="7" t="str">
        <f t="shared" si="12"/>
        <v>いない</v>
      </c>
      <c r="X19" s="7" t="str">
        <f t="shared" si="17"/>
        <v>いなかった</v>
      </c>
      <c r="Y19" s="7" t="str">
        <f t="shared" si="18"/>
        <v>いなかった</v>
      </c>
      <c r="Z19" s="7" t="str">
        <f t="shared" ref="Z19:Z23" si="20">_xlfn.CONCAT(F19,"た")</f>
        <v>いた</v>
      </c>
      <c r="AA19" s="7" t="s">
        <v>222</v>
      </c>
      <c r="AB19" s="7" t="str">
        <f t="shared" ref="AB19:AB23" si="21">_xlfn.CONCAT(F19,"て")</f>
        <v>いて</v>
      </c>
      <c r="AC19" s="7" t="str">
        <f t="shared" si="16"/>
        <v>いて</v>
      </c>
    </row>
    <row r="20" spans="1:29" x14ac:dyDescent="0.6">
      <c r="A20" s="7" t="s">
        <v>125</v>
      </c>
      <c r="B20" s="7" t="s">
        <v>164</v>
      </c>
      <c r="C20" s="6" t="s">
        <v>126</v>
      </c>
      <c r="D20" s="6" t="s">
        <v>119</v>
      </c>
      <c r="E20" s="6" t="s">
        <v>120</v>
      </c>
      <c r="F20" s="7" t="s">
        <v>127</v>
      </c>
      <c r="G20" s="7" t="s">
        <v>185</v>
      </c>
      <c r="H20" s="7" t="str">
        <f t="shared" si="0"/>
        <v>起きます</v>
      </c>
      <c r="I20" s="7" t="str">
        <f t="shared" si="1"/>
        <v>おきます</v>
      </c>
      <c r="J20" s="7" t="str">
        <f t="shared" si="2"/>
        <v>起きません</v>
      </c>
      <c r="K20" s="7" t="str">
        <f t="shared" si="3"/>
        <v>おきません</v>
      </c>
      <c r="L20" s="7" t="str">
        <f t="shared" si="4"/>
        <v>起きました</v>
      </c>
      <c r="M20" s="7" t="str">
        <f t="shared" si="5"/>
        <v>おきました</v>
      </c>
      <c r="N20" s="7" t="str">
        <f t="shared" si="6"/>
        <v>起きませんでした</v>
      </c>
      <c r="O20" s="7" t="str">
        <f t="shared" si="7"/>
        <v>おきませんでした</v>
      </c>
      <c r="P20" s="7" t="str">
        <f t="shared" si="8"/>
        <v>起きましょう</v>
      </c>
      <c r="Q20" s="7" t="str">
        <f t="shared" si="9"/>
        <v>おきましょう</v>
      </c>
      <c r="R20" s="7" t="str">
        <f t="shared" si="10"/>
        <v>起きたい</v>
      </c>
      <c r="S20" s="7" t="str">
        <f t="shared" si="11"/>
        <v>おきたい</v>
      </c>
      <c r="T20" s="7" t="s">
        <v>127</v>
      </c>
      <c r="U20" s="7" t="str">
        <f t="shared" si="19"/>
        <v>おき</v>
      </c>
      <c r="V20" s="7" t="str">
        <f t="shared" si="12"/>
        <v>起きない</v>
      </c>
      <c r="W20" s="7" t="str">
        <f t="shared" si="12"/>
        <v>おきない</v>
      </c>
      <c r="X20" s="7" t="str">
        <f t="shared" si="17"/>
        <v>起きなかった</v>
      </c>
      <c r="Y20" s="7" t="str">
        <f t="shared" si="18"/>
        <v>おきなかった</v>
      </c>
      <c r="Z20" s="7" t="str">
        <f t="shared" si="20"/>
        <v>起きた</v>
      </c>
      <c r="AA20" s="7" t="s">
        <v>233</v>
      </c>
      <c r="AB20" s="7" t="str">
        <f t="shared" si="21"/>
        <v>起きて</v>
      </c>
      <c r="AC20" s="7" t="str">
        <f t="shared" si="16"/>
        <v>おきて</v>
      </c>
    </row>
    <row r="21" spans="1:29" x14ac:dyDescent="0.6">
      <c r="A21" s="7" t="s">
        <v>128</v>
      </c>
      <c r="B21" s="7" t="s">
        <v>165</v>
      </c>
      <c r="C21" s="6" t="s">
        <v>129</v>
      </c>
      <c r="D21" s="6" t="s">
        <v>119</v>
      </c>
      <c r="E21" s="6" t="s">
        <v>120</v>
      </c>
      <c r="F21" s="7" t="s">
        <v>130</v>
      </c>
      <c r="G21" s="7" t="s">
        <v>186</v>
      </c>
      <c r="H21" s="7" t="str">
        <f t="shared" si="0"/>
        <v>食べます</v>
      </c>
      <c r="I21" s="7" t="str">
        <f t="shared" si="1"/>
        <v>たべます</v>
      </c>
      <c r="J21" s="7" t="str">
        <f t="shared" si="2"/>
        <v>食べません</v>
      </c>
      <c r="K21" s="7" t="str">
        <f t="shared" si="3"/>
        <v>たべません</v>
      </c>
      <c r="L21" s="7" t="str">
        <f t="shared" si="4"/>
        <v>食べました</v>
      </c>
      <c r="M21" s="7" t="str">
        <f t="shared" si="5"/>
        <v>たべました</v>
      </c>
      <c r="N21" s="7" t="str">
        <f t="shared" si="6"/>
        <v>食べませんでした</v>
      </c>
      <c r="O21" s="7" t="str">
        <f t="shared" si="7"/>
        <v>たべませんでした</v>
      </c>
      <c r="P21" s="7" t="str">
        <f t="shared" si="8"/>
        <v>食べましょう</v>
      </c>
      <c r="Q21" s="7" t="str">
        <f t="shared" si="9"/>
        <v>たべましょう</v>
      </c>
      <c r="R21" s="7" t="str">
        <f t="shared" si="10"/>
        <v>食べたい</v>
      </c>
      <c r="S21" s="7" t="str">
        <f t="shared" si="11"/>
        <v>たべたい</v>
      </c>
      <c r="T21" s="7" t="s">
        <v>130</v>
      </c>
      <c r="U21" s="7" t="str">
        <f t="shared" si="19"/>
        <v>たべ</v>
      </c>
      <c r="V21" s="7" t="str">
        <f t="shared" si="12"/>
        <v>食べない</v>
      </c>
      <c r="W21" s="7" t="str">
        <f t="shared" si="12"/>
        <v>たべない</v>
      </c>
      <c r="X21" s="7" t="str">
        <f t="shared" si="17"/>
        <v>食べなかった</v>
      </c>
      <c r="Y21" s="7" t="str">
        <f t="shared" si="18"/>
        <v>たべなかった</v>
      </c>
      <c r="Z21" s="7" t="str">
        <f t="shared" si="20"/>
        <v>食べた</v>
      </c>
      <c r="AA21" s="7" t="s">
        <v>234</v>
      </c>
      <c r="AB21" s="7" t="str">
        <f t="shared" si="21"/>
        <v>食べて</v>
      </c>
      <c r="AC21" s="7" t="str">
        <f t="shared" si="16"/>
        <v>たべて</v>
      </c>
    </row>
    <row r="22" spans="1:29" x14ac:dyDescent="0.6">
      <c r="A22" s="7" t="s">
        <v>131</v>
      </c>
      <c r="B22" s="7" t="s">
        <v>166</v>
      </c>
      <c r="C22" s="6" t="s">
        <v>132</v>
      </c>
      <c r="D22" s="6" t="s">
        <v>119</v>
      </c>
      <c r="E22" s="6" t="s">
        <v>120</v>
      </c>
      <c r="F22" s="7" t="s">
        <v>133</v>
      </c>
      <c r="G22" s="7" t="s">
        <v>187</v>
      </c>
      <c r="H22" s="7" t="str">
        <f t="shared" si="0"/>
        <v>寝ます</v>
      </c>
      <c r="I22" s="7" t="str">
        <f t="shared" si="1"/>
        <v>ねます</v>
      </c>
      <c r="J22" s="7" t="str">
        <f t="shared" si="2"/>
        <v>寝ません</v>
      </c>
      <c r="K22" s="7" t="str">
        <f t="shared" si="3"/>
        <v>ねません</v>
      </c>
      <c r="L22" s="7" t="str">
        <f t="shared" si="4"/>
        <v>寝ました</v>
      </c>
      <c r="M22" s="7" t="str">
        <f t="shared" si="5"/>
        <v>ねました</v>
      </c>
      <c r="N22" s="7" t="str">
        <f t="shared" si="6"/>
        <v>寝ませんでした</v>
      </c>
      <c r="O22" s="7" t="str">
        <f t="shared" si="7"/>
        <v>ねませんでした</v>
      </c>
      <c r="P22" s="7" t="str">
        <f t="shared" si="8"/>
        <v>寝ましょう</v>
      </c>
      <c r="Q22" s="7" t="str">
        <f t="shared" si="9"/>
        <v>ねましょう</v>
      </c>
      <c r="R22" s="7" t="str">
        <f t="shared" si="10"/>
        <v>寝たい</v>
      </c>
      <c r="S22" s="7" t="str">
        <f t="shared" si="11"/>
        <v>ねたい</v>
      </c>
      <c r="T22" s="7" t="s">
        <v>133</v>
      </c>
      <c r="U22" s="7" t="str">
        <f t="shared" si="19"/>
        <v>ね</v>
      </c>
      <c r="V22" s="7" t="str">
        <f t="shared" si="12"/>
        <v>寝ない</v>
      </c>
      <c r="W22" s="7" t="str">
        <f t="shared" si="12"/>
        <v>ねない</v>
      </c>
      <c r="X22" s="7" t="str">
        <f t="shared" si="17"/>
        <v>寝なかった</v>
      </c>
      <c r="Y22" s="7" t="str">
        <f t="shared" si="18"/>
        <v>ねなかった</v>
      </c>
      <c r="Z22" s="7" t="str">
        <f t="shared" si="20"/>
        <v>寝た</v>
      </c>
      <c r="AA22" s="7" t="s">
        <v>223</v>
      </c>
      <c r="AB22" s="7" t="str">
        <f t="shared" si="21"/>
        <v>寝て</v>
      </c>
      <c r="AC22" s="7" t="str">
        <f t="shared" si="16"/>
        <v>ねて</v>
      </c>
    </row>
    <row r="23" spans="1:29" x14ac:dyDescent="0.6">
      <c r="A23" s="7" t="s">
        <v>134</v>
      </c>
      <c r="B23" s="7" t="s">
        <v>167</v>
      </c>
      <c r="C23" s="6" t="s">
        <v>135</v>
      </c>
      <c r="D23" s="6" t="s">
        <v>119</v>
      </c>
      <c r="E23" s="6" t="s">
        <v>120</v>
      </c>
      <c r="F23" s="7" t="s">
        <v>136</v>
      </c>
      <c r="G23" s="7" t="s">
        <v>188</v>
      </c>
      <c r="H23" s="7" t="str">
        <f t="shared" si="0"/>
        <v>見ます</v>
      </c>
      <c r="I23" s="7" t="str">
        <f t="shared" si="1"/>
        <v>みます</v>
      </c>
      <c r="J23" s="7" t="str">
        <f t="shared" si="2"/>
        <v>見ません</v>
      </c>
      <c r="K23" s="7" t="str">
        <f t="shared" si="3"/>
        <v>みません</v>
      </c>
      <c r="L23" s="7" t="str">
        <f t="shared" si="4"/>
        <v>見ました</v>
      </c>
      <c r="M23" s="7" t="str">
        <f t="shared" si="5"/>
        <v>みました</v>
      </c>
      <c r="N23" s="7" t="str">
        <f t="shared" si="6"/>
        <v>見ませんでした</v>
      </c>
      <c r="O23" s="7" t="str">
        <f t="shared" si="7"/>
        <v>みませんでした</v>
      </c>
      <c r="P23" s="7" t="str">
        <f t="shared" si="8"/>
        <v>見ましょう</v>
      </c>
      <c r="Q23" s="7" t="str">
        <f t="shared" si="9"/>
        <v>みましょう</v>
      </c>
      <c r="R23" s="7" t="str">
        <f t="shared" si="10"/>
        <v>見たい</v>
      </c>
      <c r="S23" s="7" t="str">
        <f t="shared" si="11"/>
        <v>みたい</v>
      </c>
      <c r="T23" s="7" t="s">
        <v>136</v>
      </c>
      <c r="U23" s="7" t="str">
        <f t="shared" si="19"/>
        <v>み</v>
      </c>
      <c r="V23" s="7" t="str">
        <f t="shared" si="12"/>
        <v>見ない</v>
      </c>
      <c r="W23" s="7" t="str">
        <f t="shared" si="12"/>
        <v>みない</v>
      </c>
      <c r="X23" s="7" t="str">
        <f t="shared" si="17"/>
        <v>見なかった</v>
      </c>
      <c r="Y23" s="7" t="str">
        <f t="shared" si="18"/>
        <v>みなかった</v>
      </c>
      <c r="Z23" s="7" t="str">
        <f t="shared" si="20"/>
        <v>見た</v>
      </c>
      <c r="AA23" s="7" t="s">
        <v>224</v>
      </c>
      <c r="AB23" s="7" t="str">
        <f t="shared" si="21"/>
        <v>見て</v>
      </c>
      <c r="AC23" s="7" t="str">
        <f t="shared" si="16"/>
        <v>みて</v>
      </c>
    </row>
    <row r="24" spans="1:29" x14ac:dyDescent="0.6">
      <c r="A24" s="7" t="s">
        <v>137</v>
      </c>
      <c r="B24" s="7" t="s">
        <v>168</v>
      </c>
      <c r="C24" s="6" t="s">
        <v>138</v>
      </c>
      <c r="D24" s="6" t="s">
        <v>139</v>
      </c>
      <c r="E24" s="6" t="s">
        <v>120</v>
      </c>
      <c r="F24" s="7" t="s">
        <v>140</v>
      </c>
      <c r="G24" s="7" t="s">
        <v>189</v>
      </c>
      <c r="H24" s="7" t="str">
        <f t="shared" si="0"/>
        <v>来ます</v>
      </c>
      <c r="I24" s="7" t="str">
        <f t="shared" si="1"/>
        <v>きます</v>
      </c>
      <c r="J24" s="7" t="str">
        <f t="shared" si="2"/>
        <v>来ません</v>
      </c>
      <c r="K24" s="7" t="str">
        <f t="shared" si="3"/>
        <v>きません</v>
      </c>
      <c r="L24" s="7" t="str">
        <f t="shared" si="4"/>
        <v>来ました</v>
      </c>
      <c r="M24" s="7" t="str">
        <f t="shared" si="5"/>
        <v>きました</v>
      </c>
      <c r="N24" s="7" t="str">
        <f t="shared" si="6"/>
        <v>来ませんでした</v>
      </c>
      <c r="O24" s="7" t="str">
        <f t="shared" si="7"/>
        <v>きませんでした</v>
      </c>
      <c r="P24" s="7" t="str">
        <f t="shared" si="8"/>
        <v>来ましょう</v>
      </c>
      <c r="Q24" s="7" t="str">
        <f t="shared" si="9"/>
        <v>きましょう</v>
      </c>
      <c r="R24" s="7" t="str">
        <f t="shared" si="10"/>
        <v>来たい</v>
      </c>
      <c r="S24" s="7" t="str">
        <f t="shared" si="11"/>
        <v>きたい</v>
      </c>
      <c r="T24" s="7" t="s">
        <v>140</v>
      </c>
      <c r="U24" s="7" t="s">
        <v>214</v>
      </c>
      <c r="V24" s="7" t="str">
        <f t="shared" si="12"/>
        <v>来ない</v>
      </c>
      <c r="W24" s="7" t="str">
        <f t="shared" si="12"/>
        <v>こない</v>
      </c>
      <c r="X24" s="7" t="str">
        <f t="shared" si="17"/>
        <v>来なかった</v>
      </c>
      <c r="Y24" s="7" t="str">
        <f t="shared" si="18"/>
        <v>こなかった</v>
      </c>
      <c r="Z24" s="7" t="s">
        <v>141</v>
      </c>
      <c r="AA24" s="7" t="s">
        <v>215</v>
      </c>
      <c r="AB24" s="7" t="s">
        <v>142</v>
      </c>
      <c r="AC24" s="7" t="s">
        <v>216</v>
      </c>
    </row>
    <row r="25" spans="1:29" x14ac:dyDescent="0.6">
      <c r="A25" s="7" t="s">
        <v>143</v>
      </c>
      <c r="B25" s="7" t="s">
        <v>143</v>
      </c>
      <c r="C25" s="6" t="s">
        <v>144</v>
      </c>
      <c r="D25" s="6" t="s">
        <v>139</v>
      </c>
      <c r="E25" s="6" t="s">
        <v>120</v>
      </c>
      <c r="F25" s="7" t="s">
        <v>145</v>
      </c>
      <c r="G25" s="7" t="s">
        <v>145</v>
      </c>
      <c r="H25" s="7" t="str">
        <f t="shared" si="0"/>
        <v>します</v>
      </c>
      <c r="I25" s="7" t="str">
        <f t="shared" si="1"/>
        <v>します</v>
      </c>
      <c r="J25" s="7" t="str">
        <f t="shared" si="2"/>
        <v>しません</v>
      </c>
      <c r="K25" s="7" t="str">
        <f t="shared" si="3"/>
        <v>しません</v>
      </c>
      <c r="L25" s="7" t="str">
        <f t="shared" si="4"/>
        <v>しました</v>
      </c>
      <c r="M25" s="7" t="str">
        <f t="shared" si="5"/>
        <v>しました</v>
      </c>
      <c r="N25" s="7" t="str">
        <f t="shared" si="6"/>
        <v>しませんでした</v>
      </c>
      <c r="O25" s="7" t="str">
        <f t="shared" si="7"/>
        <v>しませんでした</v>
      </c>
      <c r="P25" s="7" t="str">
        <f t="shared" si="8"/>
        <v>しましょう</v>
      </c>
      <c r="Q25" s="7" t="str">
        <f t="shared" si="9"/>
        <v>しましょう</v>
      </c>
      <c r="R25" s="7" t="str">
        <f t="shared" si="10"/>
        <v>したい</v>
      </c>
      <c r="S25" s="7" t="str">
        <f t="shared" si="11"/>
        <v>したい</v>
      </c>
      <c r="T25" s="7" t="s">
        <v>145</v>
      </c>
      <c r="U25" s="7" t="s">
        <v>145</v>
      </c>
      <c r="V25" s="7" t="str">
        <f t="shared" si="12"/>
        <v>しない</v>
      </c>
      <c r="W25" s="7" t="str">
        <f t="shared" si="12"/>
        <v>しない</v>
      </c>
      <c r="X25" s="7" t="str">
        <f>_xlfn.CONCAT(T25,"なかった")</f>
        <v>しなかった</v>
      </c>
      <c r="Y25" s="7" t="str">
        <f t="shared" si="18"/>
        <v>しなかった</v>
      </c>
      <c r="Z25" s="7" t="s">
        <v>146</v>
      </c>
      <c r="AA25" s="7" t="s">
        <v>146</v>
      </c>
      <c r="AB25" s="7" t="s">
        <v>147</v>
      </c>
      <c r="AC25" s="7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Hunt</dc:creator>
  <cp:lastModifiedBy>Brad Hunt</cp:lastModifiedBy>
  <dcterms:created xsi:type="dcterms:W3CDTF">2026-05-07T07:27:30Z</dcterms:created>
  <dcterms:modified xsi:type="dcterms:W3CDTF">2026-05-08T01:53:31Z</dcterms:modified>
</cp:coreProperties>
</file>